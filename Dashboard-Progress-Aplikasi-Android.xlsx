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Progress Detail" state="visible" r:id="rId5"/>
  </sheets>
  <calcPr calcId="171027"/>
</workbook>
</file>

<file path=xl/sharedStrings.xml><?xml version="1.0" encoding="utf-8"?>
<sst xmlns="http://schemas.openxmlformats.org/spreadsheetml/2006/main" count="143" uniqueCount="91">
  <si>
    <t>DASHBOARD PROGRESS PEMBUATAN APLIKASI ANDROID</t>
  </si>
  <si>
    <t>Spreadsheet pemantau progres • Update kolom Status &amp; Progress di sheet "Progress Detail" • Total otomatis berbobot</t>
  </si>
  <si>
    <t>Nama Aplikasi :</t>
  </si>
  <si>
    <t>MyAndroidApp v1.0</t>
  </si>
  <si>
    <t>Tanggal Update :</t>
  </si>
  <si>
    <t>Platform :</t>
  </si>
  <si>
    <t>Android Native (Kotlin)</t>
  </si>
  <si>
    <t>Target Rilis :</t>
  </si>
  <si>
    <t>RINGKASAN PROGRESS (OTOMATIS)</t>
  </si>
  <si>
    <t>TOTAL PROGRESS</t>
  </si>
  <si>
    <t>TOTAL MODUL</t>
  </si>
  <si>
    <t>SELESAI</t>
  </si>
  <si>
    <t>BERJALAN</t>
  </si>
  <si>
    <t>BELUM MULAI</t>
  </si>
  <si>
    <t>TERTUNDA / REVISI</t>
  </si>
  <si>
    <t>Cara pakai: 1) Isi PIC &amp; Target di sheet Progress Detail  2) Ubah Status via dropdown  3) Isi Progress 0–100  4) Progress Bar &amp; Dashboard terupdate otomatis</t>
  </si>
  <si>
    <t>REKAP PER KATEGORI</t>
  </si>
  <si>
    <t>Kategori</t>
  </si>
  <si>
    <t>Jml Modul</t>
  </si>
  <si>
    <t>Selesai</t>
  </si>
  <si>
    <t>Berjalan</t>
  </si>
  <si>
    <t>Rata2 Progress</t>
  </si>
  <si>
    <t>Sisa Bobot</t>
  </si>
  <si>
    <t>Perencanaan</t>
  </si>
  <si>
    <t>UI/UX</t>
  </si>
  <si>
    <t>Setup</t>
  </si>
  <si>
    <t>Frontend</t>
  </si>
  <si>
    <t>Backend</t>
  </si>
  <si>
    <t>Integrasi</t>
  </si>
  <si>
    <t>Testing</t>
  </si>
  <si>
    <t>Rilis</t>
  </si>
  <si>
    <t>LEGENDA STATUS</t>
  </si>
  <si>
    <t>Belum Mulai</t>
  </si>
  <si>
    <t>Tertunda</t>
  </si>
  <si>
    <t>Revisi</t>
  </si>
  <si>
    <t>Target lewat &amp; belum selesai = perlu perhatian</t>
  </si>
  <si>
    <t>TIP: Aktifkan Filter di sheet Progress Detail untuk memantau per PIC / Kategori / Status. Cetak landscape A4 (File &gt; Print).</t>
  </si>
  <si>
    <t>PROGRESS DETAIL PEMBUATAN APLIKASI ANDROID</t>
  </si>
  <si>
    <t>Isi kolom Status (dropdown) dan Progress (0–100). Kolom Progress Bar terisi otomatis via formula.</t>
  </si>
  <si>
    <t>TOTAL PROGRESS BERBOBOT</t>
  </si>
  <si>
    <t>Total Bobot</t>
  </si>
  <si>
    <t>Tertunda / Revisi</t>
  </si>
  <si>
    <t>CARA UPDATE CEPAT</t>
  </si>
  <si>
    <t xml:space="preserve">1. Pilih Status dari dropdown
2. Ketik Progress 0-100
3. Bar &amp; Dashboard otomatis update
4. Filter per PIC/Kategori bila perlu</t>
  </si>
  <si>
    <t>TABEL PROGRESS MODUL — klik panah filter pada header untuk sortir / filter</t>
  </si>
  <si>
    <t>No</t>
  </si>
  <si>
    <t>Modul / Fitur</t>
  </si>
  <si>
    <t>PIC</t>
  </si>
  <si>
    <t>Bobot</t>
  </si>
  <si>
    <t>Target Selesai</t>
  </si>
  <si>
    <t>Status</t>
  </si>
  <si>
    <t>Progress</t>
  </si>
  <si>
    <t>Progress Bar</t>
  </si>
  <si>
    <t>Keterangan</t>
  </si>
  <si>
    <t>Analisis Kebutuhan &amp; Dokumen SRS</t>
  </si>
  <si>
    <t>Andi</t>
  </si>
  <si>
    <t>Dokumen disetujui</t>
  </si>
  <si>
    <t>Desain Wireframe &amp; User Flow</t>
  </si>
  <si>
    <t>Citra</t>
  </si>
  <si>
    <t>Figma link terlampir</t>
  </si>
  <si>
    <t>Desain High-Fidelity UI (Figma)</t>
  </si>
  <si>
    <t>3 dari 12 layar revisi</t>
  </si>
  <si>
    <t>Setup Project (Kotlin, Gradle, Git, Firebase)</t>
  </si>
  <si>
    <t>Budi</t>
  </si>
  <si>
    <t>Repo + CI ready</t>
  </si>
  <si>
    <t>Splash Screen, Onboarding &amp; Navigasi</t>
  </si>
  <si>
    <t>Navigasi selesai, animasi 60%</t>
  </si>
  <si>
    <t>Autentikasi (Login, Register, OTP, Google Sign-In)</t>
  </si>
  <si>
    <t>Dewi</t>
  </si>
  <si>
    <t>Login OK, OTP integrasi</t>
  </si>
  <si>
    <t>Dashboard / Home &amp; Bottom Navigation</t>
  </si>
  <si>
    <t>Layout dasar jadi</t>
  </si>
  <si>
    <t>Modul Profil &amp; Pengaturan</t>
  </si>
  <si>
    <t>Eko</t>
  </si>
  <si>
    <t>Menunggu API user</t>
  </si>
  <si>
    <t>Integrasi REST API (Retrofit/OkHttp)</t>
  </si>
  <si>
    <t>50% endpoint terhubung</t>
  </si>
  <si>
    <t>Database Lokal (Room) &amp; Offline Mode</t>
  </si>
  <si>
    <t>Entity dirancang</t>
  </si>
  <si>
    <t>Notifikasi Push (FCM)</t>
  </si>
  <si>
    <t>Menunggu Firebase key</t>
  </si>
  <si>
    <t>Upload File / Gambar &amp; Media</t>
  </si>
  <si>
    <t>-</t>
  </si>
  <si>
    <t>Testing Unit, UI (Espresso) &amp; QA</t>
  </si>
  <si>
    <t>Tim QA</t>
  </si>
  <si>
    <t>UAT &amp; Bug Fixing</t>
  </si>
  <si>
    <t>Optimasi Performa &amp; Keamanan (Proguard, Obfuscation)</t>
  </si>
  <si>
    <t>Build Release, Signing &amp; Publish Play Store</t>
  </si>
  <si>
    <t>TOTAL</t>
  </si>
  <si>
    <t/>
  </si>
  <si>
    <t>Progress total berbobot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</si>
</sst>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 mmmm yyyy"/>
    <numFmt numFmtId="165" formatCode="0.0&quot;%&quot;"/>
    <numFmt numFmtId="166" formatCode="0&quot;%&quot;"/>
    <numFmt numFmtId="167" formatCode="dd-mm-yyyy"/>
  </numFmts>
  <fonts count="2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b/>
      <sz val="10"/>
      <name val="Calibri"/>
    </font>
    <font>
      <b/>
      <color rgb="FF1F4E79"/>
      <sz val="18"/>
      <name val="Calibri"/>
    </font>
    <font>
      <i/>
      <color rgb="FF404040"/>
      <sz val="10"/>
      <name val="Calibri"/>
    </font>
    <font>
      <b/>
      <color rgb="FF006100"/>
      <sz val="10"/>
      <name val="Calibri"/>
    </font>
    <font>
      <b/>
      <color rgb="FF9C5700"/>
      <sz val="10"/>
      <name val="Calibri"/>
    </font>
    <font>
      <b/>
      <color rgb="FF404040"/>
      <sz val="10"/>
      <name val="Calibri"/>
    </font>
    <font>
      <b/>
      <color rgb="FF9C0006"/>
      <sz val="10"/>
      <name val="Calibri"/>
    </font>
    <font>
      <b/>
      <color rgb="FFFFFFFF"/>
      <sz val="10"/>
      <name val="Calibri"/>
    </font>
    <font>
      <i/>
      <sz val="10"/>
      <name val="Calibri"/>
    </font>
    <font>
      <b/>
      <color rgb="FF1F4E79"/>
      <sz val="26"/>
      <name val="Calibri"/>
    </font>
    <font>
      <b/>
      <sz val="14"/>
      <name val="Calibri"/>
    </font>
    <font>
      <sz val="10"/>
      <name val="Calibri"/>
    </font>
    <font>
      <b/>
      <color rgb="FF006100"/>
      <sz val="11"/>
      <name val="Calibri"/>
    </font>
    <font>
      <color rgb="FF2E75B6"/>
      <sz val="11"/>
      <name val="Consolas"/>
    </font>
    <font>
      <b/>
      <color rgb="FF9C5700"/>
      <sz val="11"/>
      <name val="Calibri"/>
    </font>
    <font>
      <b/>
      <sz val="12"/>
      <name val="Calibri"/>
    </font>
    <font>
      <b/>
      <color rgb="FF1F4E79"/>
      <sz val="12"/>
      <name val="Calibri"/>
    </font>
    <font>
      <b/>
      <color rgb="FF1F4E79"/>
      <sz val="12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9E2F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2F8FF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166" fontId="4" fillId="9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5" fontId="15" fillId="10" borderId="1" xfId="0" applyNumberFormat="1" applyFont="1" applyFill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167" fontId="4" fillId="9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right" vertical="center"/>
    </xf>
    <xf numFmtId="166" fontId="21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5" fontId="22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  <pageSetUpPr fitToPage="1"/>
  </sheetPr>
  <dimension ref="A1:F26"/>
  <sheetViews>
    <sheetView workbookViewId="0" showGridLines="0"/>
  </sheetViews>
  <sheetFormatPr defaultRowHeight="15" outlineLevelRow="0" outlineLevelCol="0" x14ac:dyDescent="55"/>
  <cols>
    <col min="1" max="6" width="2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spans="1:5" x14ac:dyDescent="0.25">
      <c r="A3" s="3" t="s">
        <v>2</v>
      </c>
      <c r="B3" s="4" t="s">
        <v>3</v>
      </c>
      <c r="D3" s="3" t="s">
        <v>4</v>
      </c>
      <c r="E3" s="5">
        <v>46288.20354253473</v>
      </c>
    </row>
    <row r="4" spans="1:5" x14ac:dyDescent="0.25">
      <c r="A4" s="3" t="s">
        <v>5</v>
      </c>
      <c r="B4" s="4" t="s">
        <v>6</v>
      </c>
      <c r="D4" s="3" t="s">
        <v>7</v>
      </c>
      <c r="E4" s="5">
        <v>46371.70833333333</v>
      </c>
    </row>
    <row r="6" ht="22" customHeight="1" spans="1:6" x14ac:dyDescent="0.25">
      <c r="A6" s="6" t="s">
        <v>8</v>
      </c>
      <c r="B6" s="6"/>
      <c r="C6" s="6"/>
      <c r="D6" s="6"/>
      <c r="E6" s="6"/>
      <c r="F6" s="6"/>
    </row>
    <row r="7" ht="30" customHeight="1" spans="1:6" x14ac:dyDescent="0.25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</row>
    <row r="8" ht="36" customHeight="1" spans="1:6" x14ac:dyDescent="0.25">
      <c r="A8" s="8">
        <f>=SUMPRODUCT('Progress Detail'!E12:E27,'Progress Detail'!H12:H27)/100</f>
      </c>
      <c r="B8" s="9">
        <f>=COUNTA('Progress Detail'!G12:G27)</f>
      </c>
      <c r="C8" s="10">
        <f>=COUNTIF('Progress Detail'!G12:G27,"Selesai")</f>
      </c>
      <c r="D8" s="11">
        <f>=COUNTIF('Progress Detail'!G12:G27,"Berjalan")</f>
      </c>
      <c r="E8" s="12">
        <f>=COUNTIF('Progress Detail'!G12:G27,"Belum Mulai")</f>
      </c>
      <c r="F8" s="13">
        <f>=COUNTIF('Progress Detail'!G12:G27,"Tertunda")+COUNTIF('Progress Detail'!G12:G27,"Revisi")</f>
      </c>
    </row>
    <row r="9" ht="28" customHeight="1" spans="1:6" x14ac:dyDescent="0.25">
      <c r="A9" s="14" t="s">
        <v>15</v>
      </c>
      <c r="B9" s="14"/>
      <c r="C9" s="14"/>
      <c r="D9" s="14"/>
      <c r="E9" s="14"/>
      <c r="F9" s="14"/>
    </row>
    <row r="11" ht="22" customHeight="1" spans="1:6" x14ac:dyDescent="0.25">
      <c r="A11" s="6" t="s">
        <v>16</v>
      </c>
      <c r="B11" s="6"/>
      <c r="C11" s="6"/>
      <c r="D11" s="6"/>
      <c r="E11" s="6"/>
      <c r="F11" s="6"/>
    </row>
    <row r="12" ht="20" customHeight="1" spans="1:6" x14ac:dyDescent="0.25">
      <c r="A12" s="15" t="s">
        <v>17</v>
      </c>
      <c r="B12" s="15" t="s">
        <v>18</v>
      </c>
      <c r="C12" s="15" t="s">
        <v>19</v>
      </c>
      <c r="D12" s="15" t="s">
        <v>20</v>
      </c>
      <c r="E12" s="15" t="s">
        <v>21</v>
      </c>
      <c r="F12" s="15" t="s">
        <v>22</v>
      </c>
    </row>
    <row r="13" ht="18" customHeight="1" spans="1:6" x14ac:dyDescent="0.25">
      <c r="A13" s="16" t="s">
        <v>23</v>
      </c>
      <c r="B13" s="17">
        <f>=COUNTIF('Progress Detail'!C12:C27,A13)</f>
      </c>
      <c r="C13" s="17">
        <f>=COUNTIFS('Progress Detail'!C12:C27,A13,'Progress Detail'!G12:G27,"Selesai")</f>
      </c>
      <c r="D13" s="17">
        <f>=COUNTIFS('Progress Detail'!C12:C27,A13,'Progress Detail'!G12:G27,"Berjalan")</f>
      </c>
      <c r="E13" s="18">
        <f>=IF(B13=0,0,AVERAGEIF('Progress Detail'!C12:C27,A13,'Progress Detail'!H12:H27))</f>
      </c>
      <c r="F13" s="18">
        <f>=SUMIFS('Progress Detail'!E12:E27,'Progress Detail'!C12:C27,A13,'Progress Detail'!G12:G27,"&lt;&gt;Selesai")</f>
      </c>
    </row>
    <row r="14" ht="18" customHeight="1" spans="1:6" x14ac:dyDescent="0.25">
      <c r="A14" s="19" t="s">
        <v>24</v>
      </c>
      <c r="B14" s="20">
        <f>=COUNTIF('Progress Detail'!C12:C27,A14)</f>
      </c>
      <c r="C14" s="20">
        <f>=COUNTIFS('Progress Detail'!C12:C27,A14,'Progress Detail'!G12:G27,"Selesai")</f>
      </c>
      <c r="D14" s="20">
        <f>=COUNTIFS('Progress Detail'!C12:C27,A14,'Progress Detail'!G12:G27,"Berjalan")</f>
      </c>
      <c r="E14" s="21">
        <f>=IF(B14=0,0,AVERAGEIF('Progress Detail'!C12:C27,A14,'Progress Detail'!H12:H27))</f>
      </c>
      <c r="F14" s="21">
        <f>=SUMIFS('Progress Detail'!E12:E27,'Progress Detail'!C12:C27,A14,'Progress Detail'!G12:G27,"&lt;&gt;Selesai")</f>
      </c>
    </row>
    <row r="15" ht="18" customHeight="1" spans="1:6" x14ac:dyDescent="0.25">
      <c r="A15" s="16" t="s">
        <v>25</v>
      </c>
      <c r="B15" s="17">
        <f>=COUNTIF('Progress Detail'!C12:C27,A15)</f>
      </c>
      <c r="C15" s="17">
        <f>=COUNTIFS('Progress Detail'!C12:C27,A15,'Progress Detail'!G12:G27,"Selesai")</f>
      </c>
      <c r="D15" s="17">
        <f>=COUNTIFS('Progress Detail'!C12:C27,A15,'Progress Detail'!G12:G27,"Berjalan")</f>
      </c>
      <c r="E15" s="18">
        <f>=IF(B15=0,0,AVERAGEIF('Progress Detail'!C12:C27,A15,'Progress Detail'!H12:H27))</f>
      </c>
      <c r="F15" s="18">
        <f>=SUMIFS('Progress Detail'!E12:E27,'Progress Detail'!C12:C27,A15,'Progress Detail'!G12:G27,"&lt;&gt;Selesai")</f>
      </c>
    </row>
    <row r="16" ht="18" customHeight="1" spans="1:6" x14ac:dyDescent="0.25">
      <c r="A16" s="19" t="s">
        <v>26</v>
      </c>
      <c r="B16" s="20">
        <f>=COUNTIF('Progress Detail'!C12:C27,A16)</f>
      </c>
      <c r="C16" s="20">
        <f>=COUNTIFS('Progress Detail'!C12:C27,A16,'Progress Detail'!G12:G27,"Selesai")</f>
      </c>
      <c r="D16" s="20">
        <f>=COUNTIFS('Progress Detail'!C12:C27,A16,'Progress Detail'!G12:G27,"Berjalan")</f>
      </c>
      <c r="E16" s="21">
        <f>=IF(B16=0,0,AVERAGEIF('Progress Detail'!C12:C27,A16,'Progress Detail'!H12:H27))</f>
      </c>
      <c r="F16" s="21">
        <f>=SUMIFS('Progress Detail'!E12:E27,'Progress Detail'!C12:C27,A16,'Progress Detail'!G12:G27,"&lt;&gt;Selesai")</f>
      </c>
    </row>
    <row r="17" ht="18" customHeight="1" spans="1:6" x14ac:dyDescent="0.25">
      <c r="A17" s="16" t="s">
        <v>27</v>
      </c>
      <c r="B17" s="17">
        <f>=COUNTIF('Progress Detail'!C12:C27,A17)</f>
      </c>
      <c r="C17" s="17">
        <f>=COUNTIFS('Progress Detail'!C12:C27,A17,'Progress Detail'!G12:G27,"Selesai")</f>
      </c>
      <c r="D17" s="17">
        <f>=COUNTIFS('Progress Detail'!C12:C27,A17,'Progress Detail'!G12:G27,"Berjalan")</f>
      </c>
      <c r="E17" s="18">
        <f>=IF(B17=0,0,AVERAGEIF('Progress Detail'!C12:C27,A17,'Progress Detail'!H12:H27))</f>
      </c>
      <c r="F17" s="18">
        <f>=SUMIFS('Progress Detail'!E12:E27,'Progress Detail'!C12:C27,A17,'Progress Detail'!G12:G27,"&lt;&gt;Selesai")</f>
      </c>
    </row>
    <row r="18" ht="18" customHeight="1" spans="1:6" x14ac:dyDescent="0.25">
      <c r="A18" s="19" t="s">
        <v>28</v>
      </c>
      <c r="B18" s="20">
        <f>=COUNTIF('Progress Detail'!C12:C27,A18)</f>
      </c>
      <c r="C18" s="20">
        <f>=COUNTIFS('Progress Detail'!C12:C27,A18,'Progress Detail'!G12:G27,"Selesai")</f>
      </c>
      <c r="D18" s="20">
        <f>=COUNTIFS('Progress Detail'!C12:C27,A18,'Progress Detail'!G12:G27,"Berjalan")</f>
      </c>
      <c r="E18" s="21">
        <f>=IF(B18=0,0,AVERAGEIF('Progress Detail'!C12:C27,A18,'Progress Detail'!H12:H27))</f>
      </c>
      <c r="F18" s="21">
        <f>=SUMIFS('Progress Detail'!E12:E27,'Progress Detail'!C12:C27,A18,'Progress Detail'!G12:G27,"&lt;&gt;Selesai")</f>
      </c>
    </row>
    <row r="19" ht="18" customHeight="1" spans="1:6" x14ac:dyDescent="0.25">
      <c r="A19" s="16" t="s">
        <v>29</v>
      </c>
      <c r="B19" s="17">
        <f>=COUNTIF('Progress Detail'!C12:C27,A19)</f>
      </c>
      <c r="C19" s="17">
        <f>=COUNTIFS('Progress Detail'!C12:C27,A19,'Progress Detail'!G12:G27,"Selesai")</f>
      </c>
      <c r="D19" s="17">
        <f>=COUNTIFS('Progress Detail'!C12:C27,A19,'Progress Detail'!G12:G27,"Berjalan")</f>
      </c>
      <c r="E19" s="18">
        <f>=IF(B19=0,0,AVERAGEIF('Progress Detail'!C12:C27,A19,'Progress Detail'!H12:H27))</f>
      </c>
      <c r="F19" s="18">
        <f>=SUMIFS('Progress Detail'!E12:E27,'Progress Detail'!C12:C27,A19,'Progress Detail'!G12:G27,"&lt;&gt;Selesai")</f>
      </c>
    </row>
    <row r="20" ht="18" customHeight="1" spans="1:6" x14ac:dyDescent="0.25">
      <c r="A20" s="19" t="s">
        <v>30</v>
      </c>
      <c r="B20" s="20">
        <f>=COUNTIF('Progress Detail'!C12:C27,A20)</f>
      </c>
      <c r="C20" s="20">
        <f>=COUNTIFS('Progress Detail'!C12:C27,A20,'Progress Detail'!G12:G27,"Selesai")</f>
      </c>
      <c r="D20" s="20">
        <f>=COUNTIFS('Progress Detail'!C12:C27,A20,'Progress Detail'!G12:G27,"Berjalan")</f>
      </c>
      <c r="E20" s="21">
        <f>=IF(B20=0,0,AVERAGEIF('Progress Detail'!C12:C27,A20,'Progress Detail'!H12:H27))</f>
      </c>
      <c r="F20" s="21">
        <f>=SUMIFS('Progress Detail'!E12:E27,'Progress Detail'!C12:C27,A20,'Progress Detail'!G12:G27,"&lt;&gt;Selesai")</f>
      </c>
    </row>
    <row r="22" ht="22" customHeight="1" spans="1:6" x14ac:dyDescent="0.25">
      <c r="A22" s="6" t="s">
        <v>31</v>
      </c>
      <c r="B22" s="6"/>
      <c r="C22" s="6"/>
      <c r="D22" s="6"/>
      <c r="E22" s="6"/>
      <c r="F22" s="6"/>
    </row>
    <row r="23" ht="20" customHeight="1" spans="1:5" x14ac:dyDescent="0.25">
      <c r="A23" s="22" t="s">
        <v>19</v>
      </c>
      <c r="C23" s="23" t="s">
        <v>20</v>
      </c>
      <c r="E23" s="24" t="s">
        <v>32</v>
      </c>
    </row>
    <row r="24" ht="20" customHeight="1" spans="1:5" x14ac:dyDescent="0.25">
      <c r="A24" s="25" t="s">
        <v>33</v>
      </c>
      <c r="C24" s="25" t="s">
        <v>34</v>
      </c>
      <c r="E24" s="26" t="s">
        <v>35</v>
      </c>
    </row>
    <row r="26" spans="1:6" x14ac:dyDescent="0.25">
      <c r="A26" s="27" t="s">
        <v>36</v>
      </c>
      <c r="B26" s="27"/>
      <c r="C26" s="27"/>
      <c r="D26" s="27"/>
      <c r="E26" s="27"/>
      <c r="F26" s="27"/>
    </row>
  </sheetData>
  <mergeCells count="7">
    <mergeCell ref="A1:F1"/>
    <mergeCell ref="A2:F2"/>
    <mergeCell ref="A6:F6"/>
    <mergeCell ref="A9:F9"/>
    <mergeCell ref="A11:F11"/>
    <mergeCell ref="A22:F22"/>
    <mergeCell ref="A26:F26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  <pageSetUpPr fitToPage="1"/>
  </sheetPr>
  <dimension ref="A1:J28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4" customWidth="1"/>
    <col min="4" max="4" width="13" customWidth="1"/>
    <col min="5" max="5" width="10" customWidth="1"/>
    <col min="6" max="7" width="14" customWidth="1"/>
    <col min="8" max="8" width="12" customWidth="1"/>
    <col min="9" max="9" width="26" customWidth="1"/>
    <col min="10" max="10" width="28" customWidth="1"/>
  </cols>
  <sheetData>
    <row r="1" ht="30" customHeight="1" spans="1:10" x14ac:dyDescent="0.2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8" t="s">
        <v>39</v>
      </c>
      <c r="B3" s="28"/>
      <c r="C3" s="28"/>
      <c r="D3" s="29" t="s">
        <v>40</v>
      </c>
      <c r="E3" s="30" t="s">
        <v>19</v>
      </c>
      <c r="F3" s="31" t="s">
        <v>20</v>
      </c>
      <c r="G3" s="32" t="s">
        <v>32</v>
      </c>
      <c r="H3" s="33" t="s">
        <v>41</v>
      </c>
      <c r="I3" s="28" t="s">
        <v>42</v>
      </c>
      <c r="J3" s="28"/>
    </row>
    <row r="4" ht="42" customHeight="1" spans="1:10" x14ac:dyDescent="0.25">
      <c r="A4" s="34">
        <f>=SUMPRODUCT(E12:E27,H12:H27)/100</f>
      </c>
      <c r="B4" s="34"/>
      <c r="C4" s="34"/>
      <c r="D4" s="35">
        <f>=SUM(E12:E27)</f>
      </c>
      <c r="E4" s="30">
        <f>=COUNTIF(G12:G27,"Selesai")&amp;" / "&amp;COUNTA(G12:G27)</f>
      </c>
      <c r="F4" s="36">
        <f>=COUNTIF(G12:G27,"Berjalan")</f>
      </c>
      <c r="G4" s="37">
        <f>=COUNTIF(G12:G27,"Belum Mulai")</f>
      </c>
      <c r="H4" s="38">
        <f>=COUNTIF(G12:G27,"Tertunda")+COUNTIF(G12:G27,"Revisi")</f>
      </c>
      <c r="I4" s="39" t="s">
        <v>43</v>
      </c>
      <c r="J4" s="39"/>
    </row>
    <row r="5" ht="14" customHeight="1" spans="1:10" x14ac:dyDescent="0.25">
      <c r="A5" s="34"/>
      <c r="B5" s="34"/>
      <c r="C5" s="34"/>
      <c r="I5" s="39"/>
      <c r="J5" s="39"/>
    </row>
    <row r="6" ht="18" customHeight="1" spans="1:10" x14ac:dyDescent="0.25">
      <c r="A6" s="40">
        <f>=IF(SUM(E12:E27)&lt;&gt;1,"⚠ Total Bobot harus 100% — saat ini "&amp;TEXT(SUM(E12:E27),"0%"),"✔ Total Bobot 100% — valid")</f>
      </c>
      <c r="B6" s="40"/>
      <c r="C6" s="40"/>
      <c r="D6" s="40"/>
      <c r="E6" s="40"/>
      <c r="F6" s="40"/>
      <c r="G6" s="40"/>
      <c r="H6" s="40"/>
      <c r="I6" s="40"/>
      <c r="J6" s="40"/>
    </row>
    <row r="8" ht="18" customHeight="1" spans="1:10" x14ac:dyDescent="0.25">
      <c r="A8" s="41" t="s">
        <v>44</v>
      </c>
      <c r="B8" s="41"/>
      <c r="C8" s="41"/>
      <c r="D8" s="41"/>
      <c r="E8" s="41"/>
      <c r="F8" s="41"/>
      <c r="G8" s="41"/>
      <c r="H8" s="41"/>
      <c r="I8" s="41"/>
      <c r="J8" s="41"/>
    </row>
    <row r="11" ht="24" customHeight="1" spans="1:10" x14ac:dyDescent="0.25">
      <c r="A11" s="42" t="s">
        <v>45</v>
      </c>
      <c r="B11" s="42" t="s">
        <v>46</v>
      </c>
      <c r="C11" s="42" t="s">
        <v>17</v>
      </c>
      <c r="D11" s="42" t="s">
        <v>47</v>
      </c>
      <c r="E11" s="42" t="s">
        <v>48</v>
      </c>
      <c r="F11" s="42" t="s">
        <v>49</v>
      </c>
      <c r="G11" s="42" t="s">
        <v>50</v>
      </c>
      <c r="H11" s="42" t="s">
        <v>51</v>
      </c>
      <c r="I11" s="42" t="s">
        <v>52</v>
      </c>
      <c r="J11" s="42" t="s">
        <v>53</v>
      </c>
    </row>
    <row r="12" ht="22" customHeight="1" spans="1:10" x14ac:dyDescent="0.25">
      <c r="A12" s="43">
        <v>1</v>
      </c>
      <c r="B12" s="44" t="s">
        <v>54</v>
      </c>
      <c r="C12" s="43" t="s">
        <v>23</v>
      </c>
      <c r="D12" s="43" t="s">
        <v>55</v>
      </c>
      <c r="E12" s="45">
        <v>0.05</v>
      </c>
      <c r="F12" s="46">
        <v>46294.70833333333</v>
      </c>
      <c r="G12" s="47" t="s">
        <v>19</v>
      </c>
      <c r="H12" s="45">
        <v>1</v>
      </c>
      <c r="I12" s="48">
        <f>=REPT("█",ROUND(H12*10,0))&amp;" "&amp;TEXT(H12,"0%")</f>
      </c>
      <c r="J12" s="44" t="s">
        <v>56</v>
      </c>
    </row>
    <row r="13" ht="22" customHeight="1" spans="1:10" x14ac:dyDescent="0.25">
      <c r="A13" s="49">
        <v>2</v>
      </c>
      <c r="B13" s="50" t="s">
        <v>57</v>
      </c>
      <c r="C13" s="49" t="s">
        <v>24</v>
      </c>
      <c r="D13" s="49" t="s">
        <v>58</v>
      </c>
      <c r="E13" s="51">
        <v>0.06</v>
      </c>
      <c r="F13" s="52">
        <v>46301.70833333333</v>
      </c>
      <c r="G13" s="47" t="s">
        <v>19</v>
      </c>
      <c r="H13" s="51">
        <v>1</v>
      </c>
      <c r="I13" s="48">
        <f>=REPT("█",ROUND(H13*10,0))&amp;" "&amp;TEXT(H13,"0%")</f>
      </c>
      <c r="J13" s="50" t="s">
        <v>59</v>
      </c>
    </row>
    <row r="14" ht="22" customHeight="1" spans="1:10" x14ac:dyDescent="0.25">
      <c r="A14" s="43">
        <v>3</v>
      </c>
      <c r="B14" s="44" t="s">
        <v>60</v>
      </c>
      <c r="C14" s="43" t="s">
        <v>24</v>
      </c>
      <c r="D14" s="43" t="s">
        <v>58</v>
      </c>
      <c r="E14" s="45">
        <v>0.07</v>
      </c>
      <c r="F14" s="46">
        <v>46308.70833333333</v>
      </c>
      <c r="G14" s="53" t="s">
        <v>20</v>
      </c>
      <c r="H14" s="45">
        <v>0.75</v>
      </c>
      <c r="I14" s="48">
        <f>=REPT("█",ROUND(H14*10,0))&amp;" "&amp;TEXT(H14,"0%")</f>
      </c>
      <c r="J14" s="44" t="s">
        <v>61</v>
      </c>
    </row>
    <row r="15" ht="22" customHeight="1" spans="1:10" x14ac:dyDescent="0.25">
      <c r="A15" s="49">
        <v>4</v>
      </c>
      <c r="B15" s="50" t="s">
        <v>62</v>
      </c>
      <c r="C15" s="49" t="s">
        <v>25</v>
      </c>
      <c r="D15" s="49" t="s">
        <v>63</v>
      </c>
      <c r="E15" s="51">
        <v>0.05</v>
      </c>
      <c r="F15" s="52">
        <v>46304.70833333333</v>
      </c>
      <c r="G15" s="47" t="s">
        <v>19</v>
      </c>
      <c r="H15" s="51">
        <v>1</v>
      </c>
      <c r="I15" s="48">
        <f>=REPT("█",ROUND(H15*10,0))&amp;" "&amp;TEXT(H15,"0%")</f>
      </c>
      <c r="J15" s="50" t="s">
        <v>64</v>
      </c>
    </row>
    <row r="16" ht="22" customHeight="1" spans="1:10" x14ac:dyDescent="0.25">
      <c r="A16" s="43">
        <v>5</v>
      </c>
      <c r="B16" s="44" t="s">
        <v>65</v>
      </c>
      <c r="C16" s="43" t="s">
        <v>26</v>
      </c>
      <c r="D16" s="43" t="s">
        <v>63</v>
      </c>
      <c r="E16" s="45">
        <v>0.06</v>
      </c>
      <c r="F16" s="46">
        <v>46315.70833333333</v>
      </c>
      <c r="G16" s="53" t="s">
        <v>20</v>
      </c>
      <c r="H16" s="45">
        <v>0.6</v>
      </c>
      <c r="I16" s="48">
        <f>=REPT("█",ROUND(H16*10,0))&amp;" "&amp;TEXT(H16,"0%")</f>
      </c>
      <c r="J16" s="44" t="s">
        <v>66</v>
      </c>
    </row>
    <row r="17" ht="22" customHeight="1" spans="1:10" x14ac:dyDescent="0.25">
      <c r="A17" s="49">
        <v>6</v>
      </c>
      <c r="B17" s="50" t="s">
        <v>67</v>
      </c>
      <c r="C17" s="49" t="s">
        <v>26</v>
      </c>
      <c r="D17" s="49" t="s">
        <v>68</v>
      </c>
      <c r="E17" s="51">
        <v>0.08</v>
      </c>
      <c r="F17" s="52">
        <v>46322.70833333333</v>
      </c>
      <c r="G17" s="53" t="s">
        <v>20</v>
      </c>
      <c r="H17" s="51">
        <v>0.45</v>
      </c>
      <c r="I17" s="48">
        <f>=REPT("█",ROUND(H17*10,0))&amp;" "&amp;TEXT(H17,"0%")</f>
      </c>
      <c r="J17" s="50" t="s">
        <v>69</v>
      </c>
    </row>
    <row r="18" ht="22" customHeight="1" spans="1:10" x14ac:dyDescent="0.25">
      <c r="A18" s="43">
        <v>7</v>
      </c>
      <c r="B18" s="44" t="s">
        <v>70</v>
      </c>
      <c r="C18" s="43" t="s">
        <v>26</v>
      </c>
      <c r="D18" s="43" t="s">
        <v>63</v>
      </c>
      <c r="E18" s="45">
        <v>0.07</v>
      </c>
      <c r="F18" s="46">
        <v>46329.70833333333</v>
      </c>
      <c r="G18" s="53" t="s">
        <v>20</v>
      </c>
      <c r="H18" s="45">
        <v>0.3</v>
      </c>
      <c r="I18" s="48">
        <f>=REPT("█",ROUND(H18*10,0))&amp;" "&amp;TEXT(H18,"0%")</f>
      </c>
      <c r="J18" s="44" t="s">
        <v>71</v>
      </c>
    </row>
    <row r="19" ht="22" customHeight="1" spans="1:10" x14ac:dyDescent="0.25">
      <c r="A19" s="49">
        <v>8</v>
      </c>
      <c r="B19" s="50" t="s">
        <v>72</v>
      </c>
      <c r="C19" s="49" t="s">
        <v>26</v>
      </c>
      <c r="D19" s="49" t="s">
        <v>73</v>
      </c>
      <c r="E19" s="51">
        <v>0.05</v>
      </c>
      <c r="F19" s="52">
        <v>46336.70833333333</v>
      </c>
      <c r="G19" s="54" t="s">
        <v>32</v>
      </c>
      <c r="H19" s="51">
        <v>0</v>
      </c>
      <c r="I19" s="48">
        <f>=REPT("█",ROUND(H19*10,0))&amp;" "&amp;TEXT(H19,"0%")</f>
      </c>
      <c r="J19" s="50" t="s">
        <v>74</v>
      </c>
    </row>
    <row r="20" ht="22" customHeight="1" spans="1:10" x14ac:dyDescent="0.25">
      <c r="A20" s="43">
        <v>9</v>
      </c>
      <c r="B20" s="44" t="s">
        <v>75</v>
      </c>
      <c r="C20" s="43" t="s">
        <v>28</v>
      </c>
      <c r="D20" s="43" t="s">
        <v>68</v>
      </c>
      <c r="E20" s="45">
        <v>0.08</v>
      </c>
      <c r="F20" s="46">
        <v>46343.70833333333</v>
      </c>
      <c r="G20" s="53" t="s">
        <v>20</v>
      </c>
      <c r="H20" s="45">
        <v>0.5</v>
      </c>
      <c r="I20" s="48">
        <f>=REPT("█",ROUND(H20*10,0))&amp;" "&amp;TEXT(H20,"0%")</f>
      </c>
      <c r="J20" s="44" t="s">
        <v>76</v>
      </c>
    </row>
    <row r="21" ht="22" customHeight="1" spans="1:10" x14ac:dyDescent="0.25">
      <c r="A21" s="49">
        <v>10</v>
      </c>
      <c r="B21" s="50" t="s">
        <v>77</v>
      </c>
      <c r="C21" s="49" t="s">
        <v>27</v>
      </c>
      <c r="D21" s="49" t="s">
        <v>73</v>
      </c>
      <c r="E21" s="51">
        <v>0.06</v>
      </c>
      <c r="F21" s="52">
        <v>46343.70833333333</v>
      </c>
      <c r="G21" s="54" t="s">
        <v>32</v>
      </c>
      <c r="H21" s="51">
        <v>0.1</v>
      </c>
      <c r="I21" s="48">
        <f>=REPT("█",ROUND(H21*10,0))&amp;" "&amp;TEXT(H21,"0%")</f>
      </c>
      <c r="J21" s="50" t="s">
        <v>78</v>
      </c>
    </row>
    <row r="22" ht="22" customHeight="1" spans="1:10" x14ac:dyDescent="0.25">
      <c r="A22" s="43">
        <v>11</v>
      </c>
      <c r="B22" s="44" t="s">
        <v>79</v>
      </c>
      <c r="C22" s="43" t="s">
        <v>28</v>
      </c>
      <c r="D22" s="43" t="s">
        <v>68</v>
      </c>
      <c r="E22" s="45">
        <v>0.05</v>
      </c>
      <c r="F22" s="46">
        <v>46350.70833333333</v>
      </c>
      <c r="G22" s="54" t="s">
        <v>32</v>
      </c>
      <c r="H22" s="45">
        <v>0</v>
      </c>
      <c r="I22" s="48">
        <f>=REPT("█",ROUND(H22*10,0))&amp;" "&amp;TEXT(H22,"0%")</f>
      </c>
      <c r="J22" s="44" t="s">
        <v>80</v>
      </c>
    </row>
    <row r="23" ht="22" customHeight="1" spans="1:10" x14ac:dyDescent="0.25">
      <c r="A23" s="49">
        <v>12</v>
      </c>
      <c r="B23" s="50" t="s">
        <v>81</v>
      </c>
      <c r="C23" s="49" t="s">
        <v>26</v>
      </c>
      <c r="D23" s="49" t="s">
        <v>63</v>
      </c>
      <c r="E23" s="51">
        <v>0.06</v>
      </c>
      <c r="F23" s="52">
        <v>46350.70833333333</v>
      </c>
      <c r="G23" s="54" t="s">
        <v>32</v>
      </c>
      <c r="H23" s="51">
        <v>0</v>
      </c>
      <c r="I23" s="48">
        <f>=REPT("█",ROUND(H23*10,0))&amp;" "&amp;TEXT(H23,"0%")</f>
      </c>
      <c r="J23" s="50" t="s">
        <v>82</v>
      </c>
    </row>
    <row r="24" ht="22" customHeight="1" spans="1:10" x14ac:dyDescent="0.25">
      <c r="A24" s="43">
        <v>13</v>
      </c>
      <c r="B24" s="44" t="s">
        <v>83</v>
      </c>
      <c r="C24" s="43" t="s">
        <v>29</v>
      </c>
      <c r="D24" s="43" t="s">
        <v>84</v>
      </c>
      <c r="E24" s="45">
        <v>0.07</v>
      </c>
      <c r="F24" s="46">
        <v>46357.70833333333</v>
      </c>
      <c r="G24" s="54" t="s">
        <v>32</v>
      </c>
      <c r="H24" s="45">
        <v>0</v>
      </c>
      <c r="I24" s="48">
        <f>=REPT("█",ROUND(H24*10,0))&amp;" "&amp;TEXT(H24,"0%")</f>
      </c>
      <c r="J24" s="44" t="s">
        <v>82</v>
      </c>
    </row>
    <row r="25" ht="22" customHeight="1" spans="1:10" x14ac:dyDescent="0.25">
      <c r="A25" s="49">
        <v>14</v>
      </c>
      <c r="B25" s="50" t="s">
        <v>85</v>
      </c>
      <c r="C25" s="49" t="s">
        <v>29</v>
      </c>
      <c r="D25" s="49" t="s">
        <v>84</v>
      </c>
      <c r="E25" s="51">
        <v>0.07</v>
      </c>
      <c r="F25" s="52">
        <v>46364.70833333333</v>
      </c>
      <c r="G25" s="54" t="s">
        <v>32</v>
      </c>
      <c r="H25" s="51">
        <v>0</v>
      </c>
      <c r="I25" s="48">
        <f>=REPT("█",ROUND(H25*10,0))&amp;" "&amp;TEXT(H25,"0%")</f>
      </c>
      <c r="J25" s="50" t="s">
        <v>82</v>
      </c>
    </row>
    <row r="26" ht="22" customHeight="1" spans="1:10" x14ac:dyDescent="0.25">
      <c r="A26" s="43">
        <v>15</v>
      </c>
      <c r="B26" s="44" t="s">
        <v>86</v>
      </c>
      <c r="C26" s="43" t="s">
        <v>29</v>
      </c>
      <c r="D26" s="43" t="s">
        <v>73</v>
      </c>
      <c r="E26" s="45">
        <v>0.05</v>
      </c>
      <c r="F26" s="46">
        <v>46367.70833333333</v>
      </c>
      <c r="G26" s="54" t="s">
        <v>32</v>
      </c>
      <c r="H26" s="45">
        <v>0</v>
      </c>
      <c r="I26" s="48">
        <f>=REPT("█",ROUND(H26*10,0))&amp;" "&amp;TEXT(H26,"0%")</f>
      </c>
      <c r="J26" s="44" t="s">
        <v>82</v>
      </c>
    </row>
    <row r="27" ht="22" customHeight="1" spans="1:10" x14ac:dyDescent="0.25">
      <c r="A27" s="49">
        <v>16</v>
      </c>
      <c r="B27" s="50" t="s">
        <v>87</v>
      </c>
      <c r="C27" s="49" t="s">
        <v>30</v>
      </c>
      <c r="D27" s="49" t="s">
        <v>55</v>
      </c>
      <c r="E27" s="51">
        <v>0.07</v>
      </c>
      <c r="F27" s="52">
        <v>46371.70833333333</v>
      </c>
      <c r="G27" s="54" t="s">
        <v>32</v>
      </c>
      <c r="H27" s="51">
        <v>0</v>
      </c>
      <c r="I27" s="48">
        <f>=REPT("█",ROUND(H27*10,0))&amp;" "&amp;TEXT(H27,"0%")</f>
      </c>
      <c r="J27" s="50" t="s">
        <v>82</v>
      </c>
    </row>
    <row r="28" ht="22" customHeight="1" spans="1:10" x14ac:dyDescent="0.25">
      <c r="A28" s="55" t="s">
        <v>88</v>
      </c>
      <c r="B28" s="55"/>
      <c r="C28" s="55"/>
      <c r="D28" s="55"/>
      <c r="E28" s="56">
        <f>=SUM(E12:E27)</f>
      </c>
      <c r="F28" s="57" t="s">
        <v>89</v>
      </c>
      <c r="G28" s="29">
        <f>=COUNTIF(G12:G27,"Selesai")&amp;" selesai"</f>
      </c>
      <c r="H28" s="58">
        <f>=SUMPRODUCT(E12:E27,H12:H27)/100</f>
      </c>
      <c r="I28" s="59">
        <f>=REPT("█",ROUND(H28*10,0))&amp;" "&amp;TEXT(H28,"0.0%")</f>
      </c>
      <c r="J28" s="60" t="s">
        <v>90</v>
      </c>
    </row>
  </sheetData>
  <autoFilter ref="A11:J27"/>
  <mergeCells count="9">
    <mergeCell ref="A1:J1"/>
    <mergeCell ref="A2:J2"/>
    <mergeCell ref="A3:C3"/>
    <mergeCell ref="I3:J3"/>
    <mergeCell ref="A4:C5"/>
    <mergeCell ref="I4:J5"/>
    <mergeCell ref="A6:J6"/>
    <mergeCell ref="A8:J8"/>
    <mergeCell ref="A28:D28"/>
  </mergeCells>
  <conditionalFormatting sqref="H12:H27">
    <cfRule type="dataBar" priority="1">
      <dataBar>
        <cfvo type="min" val="0"/>
        <cfvo type="max" val="1"/>
        <color rgb="FF2E75B6"/>
      </dataBar>
      <extLst>
        <ext xmlns:x14="http://schemas.microsoft.com/office/spreadsheetml/2009/9/main" uri="{B025F937-C7B1-47D3-B67F-A62EFF666E3E}">
          <x14:id>{960359E6-0555-492E-9215-282672FFC9A0}</x14:id>
        </ext>
      </extLst>
    </cfRule>
  </conditionalFormatting>
  <dataValidations count="2">
    <dataValidation type="list" showErrorMessage="1" errorTitle="Status tidak valid" error="Pilih: Belum Mulai, Berjalan, Selesai, Tertunda, Revisi" sqref="G12:G27">
      <formula1>"Belum Mulai,Berjalan,Selesai,Tertunda,Revisi"</formula1>
    </dataValidation>
    <dataValidation type="decimal" showInputMessage="1" promptTitle="Progress" prompt="Isi 0% - 100%" showErrorMessage="1" errorTitle="Progress tidak valid" error="Isi 0% sampai 100% (mis. 50%)" sqref="H12:H27">
      <formula1>0</formula1>
      <formula2>1</formula2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0359E6-0555-492E-9215-282672FFC9A0}">
            <x14:dataBar minLength="0" maxLength="100">
              <x14:cfvo type="min">
                <xm:f>0</xm:f>
              </x14:cfvo>
              <x14:cfvo type="max">
                <xm:f>1</xm:f>
              </x14:cfvo>
            </x14:dataBar>
          </x14:cfRule>
          <xm:sqref>H12:H27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Progress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Progress</dc:creator>
  <dc:title/>
  <dc:subject/>
  <dc:description/>
  <cp:keywords/>
  <cp:category/>
  <cp:lastModifiedBy>Unknown</cp:lastModifiedBy>
  <dcterms:created xsi:type="dcterms:W3CDTF">2026-09-23T04:53:06Z</dcterms:created>
  <dcterms:modified xsi:type="dcterms:W3CDTF">2026-09-23T04:53:06Z</dcterms:modified>
</cp:coreProperties>
</file>